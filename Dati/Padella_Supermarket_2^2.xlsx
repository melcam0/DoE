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STUDIOAPPLICATIVI\DoE-master\Dati\"/>
    </mc:Choice>
  </mc:AlternateContent>
  <xr:revisionPtr revIDLastSave="0" documentId="8_{58B9D9E7-A965-4AD4-829B-8BF2C401A9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4" r:id="rId1"/>
    <sheet name="Costruzione" sheetId="1" r:id="rId2"/>
    <sheet name="Piano esperimenti e risultati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4" i="4"/>
  <c r="D3" i="4"/>
  <c r="D2" i="4"/>
  <c r="H3" i="2"/>
  <c r="I3" i="2" s="1"/>
  <c r="H2" i="2"/>
  <c r="I2" i="2" s="1"/>
  <c r="H5" i="2"/>
  <c r="I5" i="2" s="1"/>
  <c r="H4" i="2"/>
  <c r="I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giorgio</author>
  </authors>
  <commentList>
    <comment ref="I1" authorId="0" shapeId="0" xr:uid="{00000000-0006-0000-0100-000001000000}">
      <text>
        <r>
          <rPr>
            <b/>
            <sz val="8"/>
            <color indexed="81"/>
            <rFont val="Tahoma"/>
            <charset val="1"/>
          </rPr>
          <t>giorgio:</t>
        </r>
        <r>
          <rPr>
            <sz val="8"/>
            <color indexed="81"/>
            <rFont val="Tahoma"/>
            <charset val="1"/>
          </rPr>
          <t xml:space="preserve">
Costo di esercizio supplementare per illuminazione massima è di 6€</t>
        </r>
      </text>
    </comment>
    <comment ref="D2" authorId="0" shapeId="0" xr:uid="{00000000-0006-0000-0100-000002000000}">
      <text>
        <r>
          <rPr>
            <b/>
            <sz val="8"/>
            <color indexed="81"/>
            <rFont val="Tahoma"/>
            <charset val="1"/>
          </rPr>
          <t>giorgio:</t>
        </r>
        <r>
          <rPr>
            <sz val="8"/>
            <color indexed="81"/>
            <rFont val="Tahoma"/>
            <charset val="1"/>
          </rPr>
          <t xml:space="preserve">
Offerta del 30% su prezzo pieno di 6.90€</t>
        </r>
      </text>
    </comment>
  </commentList>
</comments>
</file>

<file path=xl/sharedStrings.xml><?xml version="1.0" encoding="utf-8"?>
<sst xmlns="http://schemas.openxmlformats.org/spreadsheetml/2006/main" count="20" uniqueCount="12">
  <si>
    <t>Massima</t>
  </si>
  <si>
    <t>Offerta</t>
  </si>
  <si>
    <t>Normale</t>
  </si>
  <si>
    <t>Pieno</t>
  </si>
  <si>
    <t>#</t>
  </si>
  <si>
    <t>R1
(N)</t>
  </si>
  <si>
    <t>R2
(€ lordi)</t>
  </si>
  <si>
    <t>R3
(€ al netto del costo di esercizio)</t>
  </si>
  <si>
    <t>X1</t>
  </si>
  <si>
    <t>X2</t>
  </si>
  <si>
    <t>Illuminazione
(U1)</t>
  </si>
  <si>
    <t>Prezzo
(U2)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</si>
</sst>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'Piano esperimenti e risultati'!$F$1</c:f>
              <c:strCache>
                <c:ptCount val="1"/>
                <c:pt idx="0">
                  <c:v>X2</c:v>
                </c:pt>
              </c:strCache>
            </c:strRef>
          </c:tx>
          <c:spPr>
            <a:ln w="28575">
              <a:noFill/>
            </a:ln>
          </c:spPr>
          <c:dPt>
            <c:idx val="0"/>
            <c:marker>
              <c:symbol val="circle"/>
              <c:size val="10"/>
              <c:spPr>
                <a:noFill/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750-4608-9049-DEE4BC8727D0}"/>
              </c:ext>
            </c:extLst>
          </c:dPt>
          <c:dPt>
            <c:idx val="1"/>
            <c:marker>
              <c:symbol val="circle"/>
              <c:size val="8"/>
              <c:spPr>
                <a:noFill/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750-4608-9049-DEE4BC8727D0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750-4608-9049-DEE4BC8727D0}"/>
              </c:ext>
            </c:extLst>
          </c:dPt>
          <c:dPt>
            <c:idx val="3"/>
            <c:marker>
              <c:symbol val="circle"/>
              <c:size val="4"/>
              <c:spPr>
                <a:noFill/>
                <a:ln>
                  <a:solidFill>
                    <a:srgbClr val="FF0000"/>
                  </a:solidFill>
                </a:ln>
              </c:spPr>
            </c:marker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1750-4608-9049-DEE4BC8727D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1750-4608-9049-DEE4BC8727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750-4608-9049-DEE4BC8727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750-4608-9049-DEE4BC8727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750-4608-9049-DEE4BC8727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'Piano esperimenti e risultati'!$E$2:$E$5</c:f>
              <c:numCache>
                <c:formatCode>General</c:formatCode>
                <c:ptCount val="4"/>
                <c:pt idx="0">
                  <c:v>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</c:numCache>
            </c:numRef>
          </c:xVal>
          <c:yVal>
            <c:numRef>
              <c:f>'Piano esperimenti e risultati'!$F$2:$F$5</c:f>
              <c:numCache>
                <c:formatCode>General</c:formatCode>
                <c:ptCount val="4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50-4608-9049-DEE4BC872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82240"/>
        <c:axId val="130247680"/>
      </c:scatterChart>
      <c:valAx>
        <c:axId val="13028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Illuminazione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47680"/>
        <c:crosses val="autoZero"/>
        <c:crossBetween val="midCat"/>
      </c:valAx>
      <c:valAx>
        <c:axId val="1302476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Prezzo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82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0</xdr:row>
      <xdr:rowOff>142875</xdr:rowOff>
    </xdr:from>
    <xdr:to>
      <xdr:col>16</xdr:col>
      <xdr:colOff>533400</xdr:colOff>
      <xdr:row>16</xdr:row>
      <xdr:rowOff>142875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66724" y="142875"/>
          <a:ext cx="9820276" cy="304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Piano di studio di un supermercato</a:t>
          </a:r>
          <a:r>
            <a:rPr lang="it-IT" sz="1100" baseline="0"/>
            <a:t> per verificare quali fossero le condizioni di vendita più vantaggiose di una padella antiaderente, prezzo di vendita 6.90€ in offerta al 30% di sconto per i soci Fidaty Card.</a:t>
          </a:r>
        </a:p>
        <a:p>
          <a:r>
            <a:rPr lang="it-IT" sz="1100" baseline="0"/>
            <a:t>Risposta: numero di pezzi venduti  (R1),  ricavo lordo (R2) e netto per giornata (R3)</a:t>
          </a:r>
        </a:p>
        <a:p>
          <a:r>
            <a:rPr lang="it-IT" sz="1100" baseline="0"/>
            <a:t>Prodotti A, B, C... da promuovere</a:t>
          </a:r>
        </a:p>
        <a:p>
          <a:r>
            <a:rPr lang="it-IT" sz="1100" baseline="0"/>
            <a:t>Posizione:  a, testata di corsia davanti alle casse, b) testata di corsia in fondo (opposta alle casse)</a:t>
          </a:r>
        </a:p>
        <a:p>
          <a:r>
            <a:rPr lang="it-IT" sz="1100" baseline="0"/>
            <a:t>Illuminazione:  I1) tutti i neon accesi (illuminazione massima), I2) neon accesi per luce di base (risparmio energetico)</a:t>
          </a:r>
        </a:p>
        <a:p>
          <a:r>
            <a:rPr lang="it-IT" sz="1100" baseline="0"/>
            <a:t>Prezzo: P1) pieno, P2) offerta (sconto 30-40%)</a:t>
          </a:r>
        </a:p>
        <a:p>
          <a:endParaRPr lang="it-IT" sz="1100"/>
        </a:p>
        <a:p>
          <a:r>
            <a:rPr lang="it-IT" sz="1100"/>
            <a:t>Conoscenze</a:t>
          </a:r>
          <a:r>
            <a:rPr lang="it-IT" sz="1100" baseline="0"/>
            <a:t> pregresse</a:t>
          </a:r>
        </a:p>
        <a:p>
          <a:r>
            <a:rPr lang="it-IT" sz="1100" baseline="0"/>
            <a:t>Il fattore posizione è fondamentale. E' noto che i prodotti posti in testata corsia sono più visti di quelli a centro corsia. Inoltre si ipotizza che i prodotti di fronte alle casse siano più venduti di quelli posti nella testata in fondo alle corsie, ma di questo non è fornita alcuna prova oggettiva.</a:t>
          </a:r>
        </a:p>
        <a:p>
          <a:r>
            <a:rPr lang="it-IT" sz="1100" baseline="0"/>
            <a:t>L'illuminazione dovrebbe favorire le vendite ma va bilanciata sul costo aggiuntivo di esercizio che deriva dal mantenere accese tutte le lampade nel salone.</a:t>
          </a:r>
        </a:p>
        <a:p>
          <a:r>
            <a:rPr lang="it-IT" sz="1100"/>
            <a:t>Il prezzo ha evidentemente</a:t>
          </a:r>
          <a:r>
            <a:rPr lang="it-IT" sz="1100" baseline="0"/>
            <a:t> un effetto ovvio, ma si vuole verificare se esiste una interazione importante con i due fattori precedenti (posizione e illuminazione dei beni in vendita).</a:t>
          </a:r>
        </a:p>
        <a:p>
          <a:r>
            <a:rPr lang="it-IT" sz="1100" baseline="0"/>
            <a:t>Ogni "esperimento" dura una settimana.</a:t>
          </a:r>
        </a:p>
        <a:p>
          <a:endParaRPr lang="it-IT" sz="1100" baseline="0"/>
        </a:p>
        <a:p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6</xdr:row>
      <xdr:rowOff>47625</xdr:rowOff>
    </xdr:from>
    <xdr:to>
      <xdr:col>7</xdr:col>
      <xdr:colOff>542925</xdr:colOff>
      <xdr:row>20</xdr:row>
      <xdr:rowOff>123825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02AF-187A-4D42-BCA4-C2F2343553EF}">
  <dimension ref="A1:D5"/>
  <sheetViews>
    <sheetView tabSelected="1" workbookViewId="0">
      <selection activeCell="H31" sqref="H31"/>
    </sheetView>
  </sheetViews>
  <sheetFormatPr defaultRowHeight="15" x14ac:dyDescent="0.25"/>
  <sheetData>
    <row r="1" spans="1:4" ht="30" x14ac:dyDescent="0.25">
      <c r="A1" s="3" t="s">
        <v>8</v>
      </c>
      <c r="B1" s="3" t="s">
        <v>9</v>
      </c>
      <c r="C1" s="4" t="s">
        <v>5</v>
      </c>
      <c r="D1" s="4" t="s">
        <v>6</v>
      </c>
    </row>
    <row r="2" spans="1:4" x14ac:dyDescent="0.25">
      <c r="A2" s="1">
        <v>1</v>
      </c>
      <c r="B2" s="1">
        <v>-1</v>
      </c>
      <c r="C2" s="1">
        <v>65</v>
      </c>
      <c r="D2" s="2">
        <f>+C2*0.3*6.9</f>
        <v>134.55000000000001</v>
      </c>
    </row>
    <row r="3" spans="1:4" x14ac:dyDescent="0.25">
      <c r="A3" s="1">
        <v>-1</v>
      </c>
      <c r="B3" s="1">
        <v>-1</v>
      </c>
      <c r="C3" s="1">
        <v>55</v>
      </c>
      <c r="D3" s="2">
        <f>+C3*0.3*6.9</f>
        <v>113.85000000000001</v>
      </c>
    </row>
    <row r="4" spans="1:4" x14ac:dyDescent="0.25">
      <c r="A4" s="1">
        <v>1</v>
      </c>
      <c r="B4" s="1">
        <v>1</v>
      </c>
      <c r="C4" s="1">
        <v>36</v>
      </c>
      <c r="D4" s="1">
        <f>+C4*6.9</f>
        <v>248.4</v>
      </c>
    </row>
    <row r="5" spans="1:4" x14ac:dyDescent="0.25">
      <c r="A5" s="1">
        <v>-1</v>
      </c>
      <c r="B5" s="1">
        <v>1</v>
      </c>
      <c r="C5" s="1">
        <v>26</v>
      </c>
      <c r="D5" s="1">
        <f>+C5*6.9</f>
        <v>179.4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25" sqref="H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5"/>
  <sheetViews>
    <sheetView workbookViewId="0">
      <selection activeCell="I31" sqref="I31"/>
    </sheetView>
  </sheetViews>
  <sheetFormatPr defaultRowHeight="15" x14ac:dyDescent="0.25"/>
  <cols>
    <col min="3" max="3" width="16.140625" customWidth="1"/>
    <col min="5" max="6" width="9.140625" style="1"/>
    <col min="7" max="7" width="9.42578125" style="1" customWidth="1"/>
    <col min="9" max="9" width="35" customWidth="1"/>
  </cols>
  <sheetData>
    <row r="1" spans="2:9" ht="30" x14ac:dyDescent="0.25">
      <c r="B1" s="3" t="s">
        <v>4</v>
      </c>
      <c r="C1" s="4" t="s">
        <v>10</v>
      </c>
      <c r="D1" s="4" t="s">
        <v>11</v>
      </c>
      <c r="E1" s="3" t="s">
        <v>8</v>
      </c>
      <c r="F1" s="3" t="s">
        <v>9</v>
      </c>
      <c r="G1" s="4" t="s">
        <v>5</v>
      </c>
      <c r="H1" s="4" t="s">
        <v>6</v>
      </c>
      <c r="I1" s="4" t="s">
        <v>7</v>
      </c>
    </row>
    <row r="2" spans="2:9" x14ac:dyDescent="0.25">
      <c r="B2" s="1">
        <v>1</v>
      </c>
      <c r="C2" s="1" t="s">
        <v>0</v>
      </c>
      <c r="D2" s="1" t="s">
        <v>1</v>
      </c>
      <c r="E2" s="1">
        <v>1</v>
      </c>
      <c r="F2" s="1">
        <v>-1</v>
      </c>
      <c r="G2" s="1">
        <v>65</v>
      </c>
      <c r="H2" s="2">
        <f>+G2*0.3*6.9</f>
        <v>134.55000000000001</v>
      </c>
      <c r="I2" s="2">
        <f>H2-6</f>
        <v>128.55000000000001</v>
      </c>
    </row>
    <row r="3" spans="2:9" x14ac:dyDescent="0.25">
      <c r="B3" s="1">
        <v>2</v>
      </c>
      <c r="C3" s="1" t="s">
        <v>2</v>
      </c>
      <c r="D3" s="1" t="s">
        <v>1</v>
      </c>
      <c r="E3" s="1">
        <v>-1</v>
      </c>
      <c r="F3" s="1">
        <v>-1</v>
      </c>
      <c r="G3" s="1">
        <v>55</v>
      </c>
      <c r="H3" s="2">
        <f>+G3*0.3*6.9</f>
        <v>113.85000000000001</v>
      </c>
      <c r="I3" s="2">
        <f>H3</f>
        <v>113.85000000000001</v>
      </c>
    </row>
    <row r="4" spans="2:9" x14ac:dyDescent="0.25">
      <c r="B4" s="1">
        <v>3</v>
      </c>
      <c r="C4" s="1" t="s">
        <v>0</v>
      </c>
      <c r="D4" s="1" t="s">
        <v>3</v>
      </c>
      <c r="E4" s="1">
        <v>1</v>
      </c>
      <c r="F4" s="1">
        <v>1</v>
      </c>
      <c r="G4" s="1">
        <v>36</v>
      </c>
      <c r="H4" s="1">
        <f>+G4*6.9</f>
        <v>248.4</v>
      </c>
      <c r="I4" s="1">
        <f>H4-6</f>
        <v>242.4</v>
      </c>
    </row>
    <row r="5" spans="2:9" x14ac:dyDescent="0.25">
      <c r="B5" s="1">
        <v>4</v>
      </c>
      <c r="C5" s="1" t="s">
        <v>2</v>
      </c>
      <c r="D5" s="1" t="s">
        <v>3</v>
      </c>
      <c r="E5" s="1">
        <v>-1</v>
      </c>
      <c r="F5" s="1">
        <v>1</v>
      </c>
      <c r="G5" s="1">
        <v>26</v>
      </c>
      <c r="H5" s="1">
        <f>+G5*6.9</f>
        <v>179.4</v>
      </c>
      <c r="I5" s="1">
        <f>H5</f>
        <v>179.4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Costruzione</vt:lpstr>
      <vt:lpstr>Piano esperimenti e 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Giorgio Marrubini</cp:lastModifiedBy>
  <dcterms:created xsi:type="dcterms:W3CDTF">2015-01-14T07:15:14Z</dcterms:created>
  <dcterms:modified xsi:type="dcterms:W3CDTF">2026-01-12T14:22:06Z</dcterms:modified>
</cp:coreProperties>
</file>